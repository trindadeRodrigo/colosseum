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ets" sheetId="1" state="visible" r:id="rId3"/>
    <sheet name="Summary" sheetId="2" state="visible" r:id="rId4"/>
    <sheet name="Legend &amp; Notes" sheetId="3" state="visible" r:id="rId5"/>
  </sheets>
  <definedNames>
    <definedName function="false" hidden="true" localSheetId="0" name="_xlnm._FilterDatabase" vbProcedure="false">Assets!$A$1:$K$31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<sst xmlns="http://schemas.openxmlformats.org/spreadsheetml/2006/main" count="367" uniqueCount="246">
  <si>
    <t xml:space="preserve">Category</t>
  </si>
  <si>
    <t xml:space="preserve">Symbol</t>
  </si>
  <si>
    <t xml:space="preserve">Name</t>
  </si>
  <si>
    <t xml:space="preserve">Issuer / Protocol</t>
  </si>
  <si>
    <t xml:space="preserve">Link / Contract (Robinhood Chain)</t>
  </si>
  <si>
    <t xml:space="preserve">Expected yield</t>
  </si>
  <si>
    <t xml:space="preserve">Yield source</t>
  </si>
  <si>
    <t xml:space="preserve">Supply / TVL on Robinhood Chain</t>
  </si>
  <si>
    <t xml:space="preserve">Status</t>
  </si>
  <si>
    <t xml:space="preserve">Access</t>
  </si>
  <si>
    <t xml:space="preserve">Route without KYC</t>
  </si>
  <si>
    <t xml:space="preserve">1. Stablecoins &amp; synthetic dollars</t>
  </si>
  <si>
    <t xml:space="preserve">USDG</t>
  </si>
  <si>
    <t xml:space="preserve">Global Dollar</t>
  </si>
  <si>
    <t xml:space="preserve">Paxos (Global Dollar Network)</t>
  </si>
  <si>
    <t xml:space="preserve">globaldollar.com · 0x5fc5360D0400a0Fd4f2af552ADD042D716F1d168</t>
  </si>
  <si>
    <t xml:space="preserve">0% to holders</t>
  </si>
  <si>
    <t xml:space="preserve">Reserve yield goes to distribution partners, not holders</t>
  </si>
  <si>
    <t xml:space="preserve">~691M USDG (Envio, Sep 25, 2026)</t>
  </si>
  <si>
    <t xml:space="preserve">Live, native</t>
  </si>
  <si>
    <t xml:space="preserve">Hybrid</t>
  </si>
  <si>
    <t xml:space="preserve">Uniswap / Rialto / 1inch, or bridge via LayerZero-Stargate, Relay, Across</t>
  </si>
  <si>
    <t xml:space="preserve">steakUSDG</t>
  </si>
  <si>
    <t xml:space="preserve">Steakhouse USDG (Morpho Vault V2)</t>
  </si>
  <si>
    <t xml:space="preserve">Steakhouse / Morpho</t>
  </si>
  <si>
    <t xml:space="preserve">app.morpho.org/robinhood-chain/vault/0xBeEff033F34C046626B8D0A041844C5d1A5409dd</t>
  </si>
  <si>
    <t xml:space="preserve">3.69% net (Morpho, Oct 6, 2026); 30d 3.8%; variable</t>
  </si>
  <si>
    <t xml:space="preserve">Lending to USDe / syrupUSDG / mGLO / spUSDG borrowers</t>
  </si>
  <si>
    <t xml:space="preserve">$534M deposits</t>
  </si>
  <si>
    <t xml:space="preserve">Live</t>
  </si>
  <si>
    <t xml:space="preserve">Permissionless</t>
  </si>
  <si>
    <t xml:space="preserve">Deposit USDG directly in the Morpho app</t>
  </si>
  <si>
    <t xml:space="preserve">Robinhood Earn</t>
  </si>
  <si>
    <t xml:space="preserve">Robinhood Earn (USDG on-chain lending)</t>
  </si>
  <si>
    <t xml:space="preserve">Robinhood / Morpho / Steakhouse</t>
  </si>
  <si>
    <t xml:space="preserve">robinhood.com/us/en/crypto/earn</t>
  </si>
  <si>
    <t xml:space="preserve">~7% advertised (≈3.5% base + ≈3.5% reward tokens, Sep 2026)</t>
  </si>
  <si>
    <t xml:space="preserve">Morpho lending + promotional rewards</t>
  </si>
  <si>
    <t xml:space="preserve">Inside steakUSDG</t>
  </si>
  <si>
    <t xml:space="preserve">Live, eligible US users</t>
  </si>
  <si>
    <t xml:space="preserve">Permissioned (app account)</t>
  </si>
  <si>
    <t xml:space="preserve">Use steakUSDG directly (bonus rewards may not apply)</t>
  </si>
  <si>
    <t xml:space="preserve">syrupUSDG</t>
  </si>
  <si>
    <t xml:space="preserve">Maple Syrup USDG</t>
  </si>
  <si>
    <t xml:space="preserve">Maple Finance</t>
  </si>
  <si>
    <t xml:space="preserve">maple.finance/insights/syrupusdg · 0x40858070814a57FdF33a613ae84fE0a8b4a874f7</t>
  </si>
  <si>
    <t xml:space="preserve">~4.6–5.0% (Maple / Today in DeFi, Sep 2026); variable</t>
  </si>
  <si>
    <t xml:space="preserve">Overcollateralized institutional loans</t>
  </si>
  <si>
    <t xml:space="preserve">Not verified (133M USDG lent against it on Morpho)</t>
  </si>
  <si>
    <t xml:space="preserve">Live since Jul 1, 2026</t>
  </si>
  <si>
    <t xml:space="preserve">Bridge in via Chainlink CCIP; no liquid local DEX pool verified</t>
  </si>
  <si>
    <t xml:space="preserve">syrupUSDC</t>
  </si>
  <si>
    <t xml:space="preserve">Maple Syrup USDC</t>
  </si>
  <si>
    <t xml:space="preserve">0xC6a4854eeB493224d5f9485E12Dd3A81f22EEE14</t>
  </si>
  <si>
    <t xml:space="preserve">~5.0–5.1% (all chains, undated)</t>
  </si>
  <si>
    <t xml:space="preserve">Institutional lending</t>
  </si>
  <si>
    <t xml:space="preserve">Not verified</t>
  </si>
  <si>
    <t xml:space="preserve">Buy on Ethereum DEX, bridge via CCIP</t>
  </si>
  <si>
    <t xml:space="preserve">spUSDG</t>
  </si>
  <si>
    <t xml:space="preserve">Spark Savings USDG</t>
  </si>
  <si>
    <t xml:space="preserve">Spark (Sky ecosystem)</t>
  </si>
  <si>
    <t xml:space="preserve">docs.spark.finance · 0xde770c84FE66E063336b31737cFE9790f18c4087</t>
  </si>
  <si>
    <t xml:space="preserve">~2.7–3.2% (Sep–Oct 2026); governance-set</t>
  </si>
  <si>
    <t xml:space="preserve">Spark Liquidity Layer deployments</t>
  </si>
  <si>
    <t xml:space="preserve">$11–25M (mid-2026, secondary)</t>
  </si>
  <si>
    <t xml:space="preserve">Live; Credora A rating</t>
  </si>
  <si>
    <t xml:space="preserve">Deposit USDG at app.spark.finance</t>
  </si>
  <si>
    <t xml:space="preserve">rUSDG</t>
  </si>
  <si>
    <t xml:space="preserve">[Robinhood] USDG Yield Vault</t>
  </si>
  <si>
    <t xml:space="preserve">Mellow Finance</t>
  </si>
  <si>
    <t xml:space="preserve">Vault 0xCe939C136cFfd80747e61f45F17EFdcd4D4abD3B</t>
  </si>
  <si>
    <t xml:space="preserve">Curated USDG strategies</t>
  </si>
  <si>
    <t xml:space="preserve">Likely permissionless (verify)</t>
  </si>
  <si>
    <t xml:space="preserve">Mellow app; redemption queue</t>
  </si>
  <si>
    <t xml:space="preserve">USDe</t>
  </si>
  <si>
    <t xml:space="preserve">Ethena USDe</t>
  </si>
  <si>
    <t xml:space="preserve">Ethena Labs</t>
  </si>
  <si>
    <t xml:space="preserve">ethena.fi</t>
  </si>
  <si>
    <t xml:space="preserve">No base yield; ~4.5% Ethena incentive when posted as Morpho collateral (late Sep 2026)</t>
  </si>
  <si>
    <t xml:space="preserve">Incentives (basis yield only via sUSDe)</t>
  </si>
  <si>
    <t xml:space="preserve">$286–320M+ (Aug 2026)</t>
  </si>
  <si>
    <t xml:space="preserve">Buy on chain DEXs or bridge via LayerZero OFT</t>
  </si>
  <si>
    <t xml:space="preserve">sUSDe</t>
  </si>
  <si>
    <t xml:space="preserve">Ethena Staked USDe</t>
  </si>
  <si>
    <t xml:space="preserve">—</t>
  </si>
  <si>
    <t xml:space="preserve">n/a on this chain</t>
  </si>
  <si>
    <t xml:space="preserve">Basis / funding</t>
  </si>
  <si>
    <t xml:space="preserve">Unconfirmed on Robinhood Chain</t>
  </si>
  <si>
    <t xml:space="preserve">Permissionless on Ethereum</t>
  </si>
  <si>
    <t xml:space="preserve">Stake on Ethereum; bridge route unverified</t>
  </si>
  <si>
    <t xml:space="preserve">sUSDS / USDtb / USD0++ / USDY</t>
  </si>
  <si>
    <t xml:space="preserve">Various</t>
  </si>
  <si>
    <t xml:space="preserve">Sky / Ethena / Usual / Ondo</t>
  </si>
  <si>
    <t xml:space="preserve">n/a</t>
  </si>
  <si>
    <t xml:space="preserve">Not found</t>
  </si>
  <si>
    <t xml:space="preserve">Not deployed</t>
  </si>
  <si>
    <t xml:space="preserve">2. Tokenized RWAs</t>
  </si>
  <si>
    <t xml:space="preserve">mGLO</t>
  </si>
  <si>
    <t xml:space="preserve">Midas Fasanara Global Open</t>
  </si>
  <si>
    <t xml:space="preserve">Midas (Fasanara Capital)</t>
  </si>
  <si>
    <t xml:space="preserve">midas.app/mglo · 0xFEd493F38c1aAcb4EA4e6A11F8b9287849EE0096</t>
  </si>
  <si>
    <t xml:space="preserve">Token APY not verified; USDG/mGLO Morpho market pays 4.95% (Oct 6)</t>
  </si>
  <si>
    <t xml:space="preserve">Diversified alternative / private debt</t>
  </si>
  <si>
    <t xml:space="preserve">~$119M market cap (Blockscout)</t>
  </si>
  <si>
    <t xml:space="preserve">No liquid DEX pool; lend USDG into the USDG/mGLO Morpho market for credit exposure</t>
  </si>
  <si>
    <t xml:space="preserve">Stock Tokens (190+)</t>
  </si>
  <si>
    <t xml:space="preserve">[Company] • Robinhood Token</t>
  </si>
  <si>
    <t xml:space="preserve">Robinhood Assets (Jersey) Ltd</t>
  </si>
  <si>
    <t xml:space="preserve">docs.robinhood.com/chain/contracts (canonical registry)</t>
  </si>
  <si>
    <t xml:space="preserve">Underlying dividend yield, reinvested via multiplier (total return, no cash)</t>
  </si>
  <si>
    <t xml:space="preserve">Underlying stock/ETF dividends</t>
  </si>
  <si>
    <t xml:space="preserve">190+ tokens; $3B+ cumulative DEX volume (Sep 2026)</t>
  </si>
  <si>
    <t xml:space="preserve">Hybrid, legally restricted</t>
  </si>
  <si>
    <t xml:space="preserve">Uniswap, Rialto, Arcus, 1inch, Lighter. Barred for US, Canada, UK, Switzerland, UAE persons</t>
  </si>
  <si>
    <t xml:space="preserve">Classic Stock Tokens</t>
  </si>
  <si>
    <t xml:space="preserve">Classic Stock Tokens (EU)</t>
  </si>
  <si>
    <t xml:space="preserve">Robinhood Europe, UAB</t>
  </si>
  <si>
    <t xml:space="preserve">robinhood.com/eu</t>
  </si>
  <si>
    <t xml:space="preserve">Cash dividends</t>
  </si>
  <si>
    <t xml:space="preserve">Underlying dividends</t>
  </si>
  <si>
    <t xml:space="preserve">Not on Robinhood Chain</t>
  </si>
  <si>
    <t xml:space="preserve">App-only</t>
  </si>
  <si>
    <t xml:space="preserve">Permissioned</t>
  </si>
  <si>
    <t xml:space="preserve">None</t>
  </si>
  <si>
    <t xml:space="preserve">BUIDL / OUSG / BENJI / USTB / USYC / VBILL / WTGXX</t>
  </si>
  <si>
    <t xml:space="preserve">Tokenized Treasury / MMF funds</t>
  </si>
  <si>
    <t xml:space="preserve">n/a on this chain (~3.4–3.8% elsewhere)</t>
  </si>
  <si>
    <t xml:space="preserve">T-bills / repo</t>
  </si>
  <si>
    <t xml:space="preserve">None found</t>
  </si>
  <si>
    <t xml:space="preserve">Not deployed on Robinhood Chain</t>
  </si>
  <si>
    <t xml:space="preserve">Permissioned on home chains</t>
  </si>
  <si>
    <t xml:space="preserve">3. ETH staking &amp; restaking</t>
  </si>
  <si>
    <t xml:space="preserve">wstETH</t>
  </si>
  <si>
    <t xml:space="preserve">Lido Wrapped Staked ETH</t>
  </si>
  <si>
    <t xml:space="preserve">Lido</t>
  </si>
  <si>
    <t xml:space="preserve">Bridged via Chainlink CCIP; Chainlink feeds live</t>
  </si>
  <si>
    <t xml:space="preserve">Lido stETH APR (variable)</t>
  </si>
  <si>
    <t xml:space="preserve">ETH staking</t>
  </si>
  <si>
    <t xml:space="preserve">Bridge support + feeds live; supply unconfirmed</t>
  </si>
  <si>
    <t xml:space="preserve">Bridge via CCIP / Transporter</t>
  </si>
  <si>
    <t xml:space="preserve">weETH</t>
  </si>
  <si>
    <t xml:space="preserve">ether.fi Wrapped eETH</t>
  </si>
  <si>
    <t xml:space="preserve">ether.fi</t>
  </si>
  <si>
    <t xml:space="preserve">0xA3D68b74bF0528fdD07263c60d6488749044914b</t>
  </si>
  <si>
    <t xml:space="preserve">ether.fi staking + restaking APR (variable)</t>
  </si>
  <si>
    <t xml:space="preserve">ETH staking + restaking</t>
  </si>
  <si>
    <t xml:space="preserve">Bridge in; DEX pools unverified</t>
  </si>
  <si>
    <t xml:space="preserve">rETH / cbETH / ezETH</t>
  </si>
  <si>
    <t xml:space="preserve">Rocket Pool / Coinbase / Renzo</t>
  </si>
  <si>
    <t xml:space="preserve">Not on chain</t>
  </si>
  <si>
    <t xml:space="preserve">Native staking</t>
  </si>
  <si>
    <t xml:space="preserve">None (ETH gas, no native token)</t>
  </si>
  <si>
    <t xml:space="preserve">4. DeFi yield</t>
  </si>
  <si>
    <t xml:space="preserve">Morpho Blue markets</t>
  </si>
  <si>
    <t xml:space="preserve">USDG vs USDe / syrupUSDG / mGLO / spUSDG / WETH</t>
  </si>
  <si>
    <t xml:space="preserve">Morpho</t>
  </si>
  <si>
    <t xml:space="preserve">app.morpho.org</t>
  </si>
  <si>
    <t xml:space="preserve">2.71–4.95% supply APY by market (Oct 6)</t>
  </si>
  <si>
    <t xml:space="preserve">Borrow interest</t>
  </si>
  <si>
    <t xml:space="preserve">$601.9M TVL, $480.8M loans (DefiLlama)</t>
  </si>
  <si>
    <t xml:space="preserve">Supply directly</t>
  </si>
  <si>
    <t xml:space="preserve">PT-USDG / YT-USDG (Mar 2027)</t>
  </si>
  <si>
    <t xml:space="preserve">Pendle USDG market</t>
  </si>
  <si>
    <t xml:space="preserve">Pendle</t>
  </si>
  <si>
    <t xml:space="preserve">app.pendle.finance</t>
  </si>
  <si>
    <t xml:space="preserve">Fixed implied rate, not verified</t>
  </si>
  <si>
    <t xml:space="preserve">USDG yield wrapper (SY underlying unconfirmed)</t>
  </si>
  <si>
    <t xml:space="preserve">Live since Sep 30, 2026</t>
  </si>
  <si>
    <t xml:space="preserve">Pendle app</t>
  </si>
  <si>
    <t xml:space="preserve">PT/YT-sNET</t>
  </si>
  <si>
    <t xml:space="preserve">Pendle sNET market</t>
  </si>
  <si>
    <t xml:space="preserve">Pendle / NetNet Capital</t>
  </si>
  <si>
    <t xml:space="preserve">Matured</t>
  </si>
  <si>
    <t xml:space="preserve">sNET rebasing</t>
  </si>
  <si>
    <t xml:space="preserve">Matured Sep 17, 2026; high-risk design</t>
  </si>
  <si>
    <t xml:space="preserve">Uniswap LP</t>
  </si>
  <si>
    <t xml:space="preserve">Uniswap v2/v3/v4 (incl. Stock Token pairs)</t>
  </si>
  <si>
    <t xml:space="preserve">Uniswap</t>
  </si>
  <si>
    <t xml:space="preserve">app.uniswap.org</t>
  </si>
  <si>
    <t xml:space="preserve">Variable fee APR, pool-specific</t>
  </si>
  <si>
    <t xml:space="preserve">Swap fees</t>
  </si>
  <si>
    <t xml:space="preserve">Largest app by users</t>
  </si>
  <si>
    <t xml:space="preserve">Provide liquidity</t>
  </si>
  <si>
    <t xml:space="preserve">up LP</t>
  </si>
  <si>
    <t xml:space="preserve">up (ve(3,3))</t>
  </si>
  <si>
    <t xml:space="preserve">up33.xyz</t>
  </si>
  <si>
    <t xml:space="preserve">Variable</t>
  </si>
  <si>
    <t xml:space="preserve">Fees + emissions</t>
  </si>
  <si>
    <t xml:space="preserve">$8.4M</t>
  </si>
  <si>
    <t xml:space="preserve">Ramses X LP</t>
  </si>
  <si>
    <t xml:space="preserve">Ramses X</t>
  </si>
  <si>
    <t xml:space="preserve">Ramses</t>
  </si>
  <si>
    <t xml:space="preserve">ramses.exchange</t>
  </si>
  <si>
    <t xml:space="preserve">95% of fees to LPs</t>
  </si>
  <si>
    <t xml:space="preserve">Live; possible wash trading</t>
  </si>
  <si>
    <t xml:space="preserve">Fables / Ekubo / PancakeSwap LP</t>
  </si>
  <si>
    <t xml:space="preserve">Various DEXs</t>
  </si>
  <si>
    <t xml:space="preserve">Fees + points</t>
  </si>
  <si>
    <t xml:space="preserve">Small</t>
  </si>
  <si>
    <t xml:space="preserve">Small lenders</t>
  </si>
  <si>
    <t xml:space="preserve">Longbow, Native Credit Pool, Flock Credit, Ripe, Gage, TermMax</t>
  </si>
  <si>
    <t xml:space="preserve">&lt;$50K to $2.48M each</t>
  </si>
  <si>
    <t xml:space="preserve">Live, tiny</t>
  </si>
  <si>
    <t xml:space="preserve">Direct</t>
  </si>
  <si>
    <t xml:space="preserve">Aave / Compound / Euler / Fluid</t>
  </si>
  <si>
    <t xml:space="preserve">Lighter (Robinhood instance)</t>
  </si>
  <si>
    <t xml:space="preserve">Lighter perps DEX</t>
  </si>
  <si>
    <t xml:space="preserve">Lighter</t>
  </si>
  <si>
    <t xml:space="preserve">Points only (2x via Robinhood Wallet), not yield</t>
  </si>
  <si>
    <t xml:space="preserve">Points / airdrop</t>
  </si>
  <si>
    <t xml:space="preserve">$112.3M TVL</t>
  </si>
  <si>
    <t xml:space="preserve">Live; restricted jurisdictions</t>
  </si>
  <si>
    <t xml:space="preserve">Permissionless on-chain</t>
  </si>
  <si>
    <t xml:space="preserve">Direct; Wallet access jurisdiction-gated</t>
  </si>
  <si>
    <t xml:space="preserve">5. Robinhood-native</t>
  </si>
  <si>
    <t xml:space="preserve">See row in section 1</t>
  </si>
  <si>
    <t xml:space="preserve">Robinhood</t>
  </si>
  <si>
    <t xml:space="preserve">~7% advertised, ~3.5–4% base</t>
  </si>
  <si>
    <t xml:space="preserve">Morpho lending + rewards</t>
  </si>
  <si>
    <t xml:space="preserve">Use steakUSDG</t>
  </si>
  <si>
    <t xml:space="preserve">Stock Token dividends</t>
  </si>
  <si>
    <t xml:space="preserve">Dividend reinvestment multiplier</t>
  </si>
  <si>
    <t xml:space="preserve">docs.robinhood.com/chain</t>
  </si>
  <si>
    <t xml:space="preserve">Underlying dividend yield (no cash)</t>
  </si>
  <si>
    <t xml:space="preserve">Dividends</t>
  </si>
  <si>
    <t xml:space="preserve">See Stock Tokens row</t>
  </si>
  <si>
    <t xml:space="preserve">Robinhood Chain — assets by access mode</t>
  </si>
  <si>
    <t xml:space="preserve">Access mode</t>
  </si>
  <si>
    <t xml:space="preserve">Count</t>
  </si>
  <si>
    <t xml:space="preserve">Other / n/a / verify</t>
  </si>
  <si>
    <t xml:space="preserve">Total</t>
  </si>
  <si>
    <t xml:space="preserve">Legend</t>
  </si>
  <si>
    <t xml:space="preserve">Anyone with a wallet can mint or deposit.</t>
  </si>
  <si>
    <t xml:space="preserve">KYC to mint/redeem with the issuer, but the token transfers freely and can be bought on-chain without KYC.</t>
  </si>
  <si>
    <t xml:space="preserve">Only allowlisted/KYC'd accounts can hold or access it.</t>
  </si>
  <si>
    <t xml:space="preserve">Caveats</t>
  </si>
  <si>
    <t xml:space="preserve">Yields</t>
  </si>
  <si>
    <t xml:space="preserve">Point-in-time as of Oct 6, 2026; variable. Robinhood Earn's 7% includes promotional reward tokens; base lending yield is ~3.5–4%.</t>
  </si>
  <si>
    <t xml:space="preserve">Concentration</t>
  </si>
  <si>
    <t xml:space="preserve">Most chain yield routes through Morpho USDG markets; ~66% of steakUSDG is lent against USDe. Markets ~90% utilized.</t>
  </si>
  <si>
    <t xml:space="preserve">Chain risk</t>
  </si>
  <si>
    <t xml:space="preserve">Robinhood runs the only sequencer; only 2 allowlisted validators can submit fraud proofs; 7-day canonical bridge withdrawals.</t>
  </si>
  <si>
    <t xml:space="preserve">Legal</t>
  </si>
  <si>
    <t xml:space="preserve">'Hybrid' for Stock Tokens is technical; restricted persons (US, CA, UK, CH, UAE) are legally barred from buying.</t>
  </si>
  <si>
    <t xml:space="preserve">Verify</t>
  </si>
  <si>
    <t xml:space="preserve">mGLO own APY, Pendle PT-USDG rate, rUSDG APY, syrup/wstETH/weETH supply, sUSDe deployment.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</si>
</sst>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24"/>
    <col collapsed="false" customWidth="true" hidden="false" outlineLevel="0" max="5" min="5" style="0" width="40"/>
    <col collapsed="false" customWidth="true" hidden="false" outlineLevel="0" max="6" min="6" style="0" width="34"/>
    <col collapsed="false" customWidth="true" hidden="false" outlineLevel="0" max="7" min="7" style="0" width="30"/>
    <col collapsed="false" customWidth="true" hidden="false" outlineLevel="0" max="8" min="8" style="0" width="26"/>
    <col collapsed="false" customWidth="true" hidden="false" outlineLevel="0" max="10" min="9" style="0" width="24"/>
    <col collapsed="false" customWidth="true" hidden="false" outlineLevel="0" max="11" min="11" style="0" width="44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39.5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3" t="s">
        <v>16</v>
      </c>
      <c r="G2" s="2" t="s">
        <v>17</v>
      </c>
      <c r="H2" s="2" t="s">
        <v>18</v>
      </c>
      <c r="I2" s="2" t="s">
        <v>19</v>
      </c>
      <c r="J2" s="4" t="s">
        <v>20</v>
      </c>
      <c r="K2" s="2" t="s">
        <v>21</v>
      </c>
    </row>
    <row r="3" customFormat="false" ht="39.55" hidden="false" customHeight="false" outlineLevel="0" collapsed="false">
      <c r="A3" s="2" t="s">
        <v>11</v>
      </c>
      <c r="B3" s="2" t="s">
        <v>22</v>
      </c>
      <c r="C3" s="2" t="s">
        <v>23</v>
      </c>
      <c r="D3" s="2" t="s">
        <v>24</v>
      </c>
      <c r="E3" s="2" t="s">
        <v>25</v>
      </c>
      <c r="F3" s="3" t="s">
        <v>26</v>
      </c>
      <c r="G3" s="2" t="s">
        <v>27</v>
      </c>
      <c r="H3" s="2" t="s">
        <v>28</v>
      </c>
      <c r="I3" s="2" t="s">
        <v>29</v>
      </c>
      <c r="J3" s="5" t="s">
        <v>30</v>
      </c>
      <c r="K3" s="2" t="s">
        <v>31</v>
      </c>
    </row>
    <row r="4" customFormat="false" ht="26.85" hidden="false" customHeight="false" outlineLevel="0" collapsed="false">
      <c r="A4" s="2" t="s">
        <v>11</v>
      </c>
      <c r="B4" s="2" t="s">
        <v>32</v>
      </c>
      <c r="C4" s="2" t="s">
        <v>33</v>
      </c>
      <c r="D4" s="2" t="s">
        <v>34</v>
      </c>
      <c r="E4" s="2" t="s">
        <v>35</v>
      </c>
      <c r="F4" s="3" t="s">
        <v>36</v>
      </c>
      <c r="G4" s="2" t="s">
        <v>37</v>
      </c>
      <c r="H4" s="2" t="s">
        <v>38</v>
      </c>
      <c r="I4" s="2" t="s">
        <v>39</v>
      </c>
      <c r="J4" s="6" t="s">
        <v>40</v>
      </c>
      <c r="K4" s="2" t="s">
        <v>41</v>
      </c>
    </row>
    <row r="5" customFormat="false" ht="39.55" hidden="false" customHeight="false" outlineLevel="0" collapsed="false">
      <c r="A5" s="2" t="s">
        <v>11</v>
      </c>
      <c r="B5" s="2" t="s">
        <v>42</v>
      </c>
      <c r="C5" s="2" t="s">
        <v>43</v>
      </c>
      <c r="D5" s="2" t="s">
        <v>44</v>
      </c>
      <c r="E5" s="2" t="s">
        <v>45</v>
      </c>
      <c r="F5" s="3" t="s">
        <v>46</v>
      </c>
      <c r="G5" s="2" t="s">
        <v>47</v>
      </c>
      <c r="H5" s="2" t="s">
        <v>48</v>
      </c>
      <c r="I5" s="2" t="s">
        <v>49</v>
      </c>
      <c r="J5" s="4" t="s">
        <v>20</v>
      </c>
      <c r="K5" s="2" t="s">
        <v>50</v>
      </c>
    </row>
    <row r="6" customFormat="false" ht="26.85" hidden="false" customHeight="false" outlineLevel="0" collapsed="false">
      <c r="A6" s="2" t="s">
        <v>11</v>
      </c>
      <c r="B6" s="2" t="s">
        <v>51</v>
      </c>
      <c r="C6" s="2" t="s">
        <v>52</v>
      </c>
      <c r="D6" s="2" t="s">
        <v>44</v>
      </c>
      <c r="E6" s="2" t="s">
        <v>53</v>
      </c>
      <c r="F6" s="3" t="s">
        <v>54</v>
      </c>
      <c r="G6" s="2" t="s">
        <v>55</v>
      </c>
      <c r="H6" s="2" t="s">
        <v>56</v>
      </c>
      <c r="I6" s="2" t="s">
        <v>29</v>
      </c>
      <c r="J6" s="4" t="s">
        <v>20</v>
      </c>
      <c r="K6" s="2" t="s">
        <v>57</v>
      </c>
    </row>
    <row r="7" customFormat="false" ht="39.55" hidden="false" customHeight="false" outlineLevel="0" collapsed="false">
      <c r="A7" s="2" t="s">
        <v>11</v>
      </c>
      <c r="B7" s="2" t="s">
        <v>58</v>
      </c>
      <c r="C7" s="2" t="s">
        <v>59</v>
      </c>
      <c r="D7" s="2" t="s">
        <v>60</v>
      </c>
      <c r="E7" s="2" t="s">
        <v>61</v>
      </c>
      <c r="F7" s="3" t="s">
        <v>62</v>
      </c>
      <c r="G7" s="2" t="s">
        <v>63</v>
      </c>
      <c r="H7" s="2" t="s">
        <v>64</v>
      </c>
      <c r="I7" s="2" t="s">
        <v>65</v>
      </c>
      <c r="J7" s="5" t="s">
        <v>30</v>
      </c>
      <c r="K7" s="2" t="s">
        <v>66</v>
      </c>
    </row>
    <row r="8" customFormat="false" ht="39.55" hidden="false" customHeight="false" outlineLevel="0" collapsed="false">
      <c r="A8" s="2" t="s">
        <v>11</v>
      </c>
      <c r="B8" s="2" t="s">
        <v>67</v>
      </c>
      <c r="C8" s="2" t="s">
        <v>68</v>
      </c>
      <c r="D8" s="2" t="s">
        <v>69</v>
      </c>
      <c r="E8" s="2" t="s">
        <v>70</v>
      </c>
      <c r="F8" s="3" t="s">
        <v>56</v>
      </c>
      <c r="G8" s="2" t="s">
        <v>71</v>
      </c>
      <c r="H8" s="2" t="s">
        <v>56</v>
      </c>
      <c r="I8" s="2" t="s">
        <v>29</v>
      </c>
      <c r="J8" s="2" t="s">
        <v>72</v>
      </c>
      <c r="K8" s="2" t="s">
        <v>73</v>
      </c>
    </row>
    <row r="9" customFormat="false" ht="39.55" hidden="false" customHeight="false" outlineLevel="0" collapsed="false">
      <c r="A9" s="2" t="s">
        <v>11</v>
      </c>
      <c r="B9" s="2" t="s">
        <v>74</v>
      </c>
      <c r="C9" s="2" t="s">
        <v>75</v>
      </c>
      <c r="D9" s="2" t="s">
        <v>76</v>
      </c>
      <c r="E9" s="2" t="s">
        <v>77</v>
      </c>
      <c r="F9" s="3" t="s">
        <v>78</v>
      </c>
      <c r="G9" s="2" t="s">
        <v>79</v>
      </c>
      <c r="H9" s="2" t="s">
        <v>80</v>
      </c>
      <c r="I9" s="2" t="s">
        <v>29</v>
      </c>
      <c r="J9" s="4" t="s">
        <v>20</v>
      </c>
      <c r="K9" s="2" t="s">
        <v>81</v>
      </c>
    </row>
    <row r="10" customFormat="false" ht="26.85" hidden="false" customHeight="false" outlineLevel="0" collapsed="false">
      <c r="A10" s="2" t="s">
        <v>11</v>
      </c>
      <c r="B10" s="2" t="s">
        <v>82</v>
      </c>
      <c r="C10" s="2" t="s">
        <v>83</v>
      </c>
      <c r="D10" s="2" t="s">
        <v>76</v>
      </c>
      <c r="E10" s="2" t="s">
        <v>84</v>
      </c>
      <c r="F10" s="3" t="s">
        <v>85</v>
      </c>
      <c r="G10" s="2" t="s">
        <v>86</v>
      </c>
      <c r="H10" s="2" t="s">
        <v>56</v>
      </c>
      <c r="I10" s="2" t="s">
        <v>87</v>
      </c>
      <c r="J10" s="5" t="s">
        <v>88</v>
      </c>
      <c r="K10" s="2" t="s">
        <v>89</v>
      </c>
    </row>
    <row r="11" customFormat="false" ht="26.85" hidden="false" customHeight="false" outlineLevel="0" collapsed="false">
      <c r="A11" s="2" t="s">
        <v>11</v>
      </c>
      <c r="B11" s="2" t="s">
        <v>90</v>
      </c>
      <c r="C11" s="2" t="s">
        <v>91</v>
      </c>
      <c r="D11" s="2" t="s">
        <v>92</v>
      </c>
      <c r="E11" s="2" t="s">
        <v>84</v>
      </c>
      <c r="F11" s="3" t="s">
        <v>93</v>
      </c>
      <c r="G11" s="2" t="s">
        <v>84</v>
      </c>
      <c r="H11" s="2" t="s">
        <v>94</v>
      </c>
      <c r="I11" s="2" t="s">
        <v>95</v>
      </c>
      <c r="J11" s="2" t="s">
        <v>84</v>
      </c>
      <c r="K11" s="2" t="s">
        <v>84</v>
      </c>
    </row>
    <row r="12" customFormat="false" ht="39.55" hidden="false" customHeight="false" outlineLevel="0" collapsed="false">
      <c r="A12" s="2" t="s">
        <v>96</v>
      </c>
      <c r="B12" s="2" t="s">
        <v>97</v>
      </c>
      <c r="C12" s="2" t="s">
        <v>98</v>
      </c>
      <c r="D12" s="2" t="s">
        <v>99</v>
      </c>
      <c r="E12" s="2" t="s">
        <v>100</v>
      </c>
      <c r="F12" s="3" t="s">
        <v>101</v>
      </c>
      <c r="G12" s="2" t="s">
        <v>102</v>
      </c>
      <c r="H12" s="2" t="s">
        <v>103</v>
      </c>
      <c r="I12" s="2" t="s">
        <v>49</v>
      </c>
      <c r="J12" s="4" t="s">
        <v>20</v>
      </c>
      <c r="K12" s="2" t="s">
        <v>104</v>
      </c>
    </row>
    <row r="13" customFormat="false" ht="39.55" hidden="false" customHeight="false" outlineLevel="0" collapsed="false">
      <c r="A13" s="2" t="s">
        <v>96</v>
      </c>
      <c r="B13" s="2" t="s">
        <v>105</v>
      </c>
      <c r="C13" s="2" t="s">
        <v>106</v>
      </c>
      <c r="D13" s="2" t="s">
        <v>107</v>
      </c>
      <c r="E13" s="2" t="s">
        <v>108</v>
      </c>
      <c r="F13" s="3" t="s">
        <v>109</v>
      </c>
      <c r="G13" s="2" t="s">
        <v>110</v>
      </c>
      <c r="H13" s="2" t="s">
        <v>111</v>
      </c>
      <c r="I13" s="2" t="s">
        <v>29</v>
      </c>
      <c r="J13" s="4" t="s">
        <v>112</v>
      </c>
      <c r="K13" s="2" t="s">
        <v>113</v>
      </c>
    </row>
    <row r="14" customFormat="false" ht="15" hidden="false" customHeight="false" outlineLevel="0" collapsed="false">
      <c r="A14" s="2" t="s">
        <v>96</v>
      </c>
      <c r="B14" s="2" t="s">
        <v>114</v>
      </c>
      <c r="C14" s="2" t="s">
        <v>115</v>
      </c>
      <c r="D14" s="2" t="s">
        <v>116</v>
      </c>
      <c r="E14" s="2" t="s">
        <v>117</v>
      </c>
      <c r="F14" s="3" t="s">
        <v>118</v>
      </c>
      <c r="G14" s="2" t="s">
        <v>119</v>
      </c>
      <c r="H14" s="2" t="s">
        <v>120</v>
      </c>
      <c r="I14" s="2" t="s">
        <v>121</v>
      </c>
      <c r="J14" s="6" t="s">
        <v>122</v>
      </c>
      <c r="K14" s="2" t="s">
        <v>123</v>
      </c>
    </row>
    <row r="15" customFormat="false" ht="39.55" hidden="false" customHeight="false" outlineLevel="0" collapsed="false">
      <c r="A15" s="2" t="s">
        <v>96</v>
      </c>
      <c r="B15" s="2" t="s">
        <v>124</v>
      </c>
      <c r="C15" s="2" t="s">
        <v>125</v>
      </c>
      <c r="D15" s="2" t="s">
        <v>91</v>
      </c>
      <c r="E15" s="2" t="s">
        <v>84</v>
      </c>
      <c r="F15" s="3" t="s">
        <v>126</v>
      </c>
      <c r="G15" s="2" t="s">
        <v>127</v>
      </c>
      <c r="H15" s="2" t="s">
        <v>128</v>
      </c>
      <c r="I15" s="2" t="s">
        <v>129</v>
      </c>
      <c r="J15" s="6" t="s">
        <v>130</v>
      </c>
      <c r="K15" s="2" t="s">
        <v>84</v>
      </c>
    </row>
    <row r="16" customFormat="false" ht="26.85" hidden="false" customHeight="false" outlineLevel="0" collapsed="false">
      <c r="A16" s="2" t="s">
        <v>131</v>
      </c>
      <c r="B16" s="2" t="s">
        <v>132</v>
      </c>
      <c r="C16" s="2" t="s">
        <v>133</v>
      </c>
      <c r="D16" s="2" t="s">
        <v>134</v>
      </c>
      <c r="E16" s="2" t="s">
        <v>135</v>
      </c>
      <c r="F16" s="3" t="s">
        <v>136</v>
      </c>
      <c r="G16" s="2" t="s">
        <v>137</v>
      </c>
      <c r="H16" s="2" t="s">
        <v>56</v>
      </c>
      <c r="I16" s="2" t="s">
        <v>138</v>
      </c>
      <c r="J16" s="5" t="s">
        <v>30</v>
      </c>
      <c r="K16" s="2" t="s">
        <v>139</v>
      </c>
    </row>
    <row r="17" customFormat="false" ht="26.85" hidden="false" customHeight="false" outlineLevel="0" collapsed="false">
      <c r="A17" s="2" t="s">
        <v>131</v>
      </c>
      <c r="B17" s="2" t="s">
        <v>140</v>
      </c>
      <c r="C17" s="2" t="s">
        <v>141</v>
      </c>
      <c r="D17" s="2" t="s">
        <v>142</v>
      </c>
      <c r="E17" s="2" t="s">
        <v>143</v>
      </c>
      <c r="F17" s="3" t="s">
        <v>144</v>
      </c>
      <c r="G17" s="2" t="s">
        <v>145</v>
      </c>
      <c r="H17" s="2" t="s">
        <v>56</v>
      </c>
      <c r="I17" s="2" t="s">
        <v>29</v>
      </c>
      <c r="J17" s="5" t="s">
        <v>30</v>
      </c>
      <c r="K17" s="2" t="s">
        <v>146</v>
      </c>
    </row>
    <row r="18" customFormat="false" ht="26.85" hidden="false" customHeight="false" outlineLevel="0" collapsed="false">
      <c r="A18" s="2" t="s">
        <v>131</v>
      </c>
      <c r="B18" s="2" t="s">
        <v>147</v>
      </c>
      <c r="C18" s="2" t="s">
        <v>84</v>
      </c>
      <c r="D18" s="2" t="s">
        <v>148</v>
      </c>
      <c r="E18" s="2" t="s">
        <v>84</v>
      </c>
      <c r="F18" s="3" t="s">
        <v>93</v>
      </c>
      <c r="G18" s="2" t="s">
        <v>84</v>
      </c>
      <c r="H18" s="2" t="s">
        <v>94</v>
      </c>
      <c r="I18" s="2" t="s">
        <v>149</v>
      </c>
      <c r="J18" s="2" t="s">
        <v>84</v>
      </c>
      <c r="K18" s="2" t="s">
        <v>84</v>
      </c>
    </row>
    <row r="19" customFormat="false" ht="15" hidden="false" customHeight="false" outlineLevel="0" collapsed="false">
      <c r="A19" s="2" t="s">
        <v>131</v>
      </c>
      <c r="B19" s="2" t="s">
        <v>150</v>
      </c>
      <c r="C19" s="2" t="s">
        <v>84</v>
      </c>
      <c r="D19" s="2" t="s">
        <v>84</v>
      </c>
      <c r="E19" s="2" t="s">
        <v>84</v>
      </c>
      <c r="F19" s="3" t="s">
        <v>151</v>
      </c>
      <c r="G19" s="2" t="s">
        <v>84</v>
      </c>
      <c r="H19" s="2" t="s">
        <v>84</v>
      </c>
      <c r="I19" s="2" t="s">
        <v>93</v>
      </c>
      <c r="J19" s="2" t="s">
        <v>84</v>
      </c>
      <c r="K19" s="2" t="s">
        <v>84</v>
      </c>
    </row>
    <row r="20" customFormat="false" ht="39.55" hidden="false" customHeight="false" outlineLevel="0" collapsed="false">
      <c r="A20" s="2" t="s">
        <v>152</v>
      </c>
      <c r="B20" s="2" t="s">
        <v>153</v>
      </c>
      <c r="C20" s="2" t="s">
        <v>154</v>
      </c>
      <c r="D20" s="2" t="s">
        <v>155</v>
      </c>
      <c r="E20" s="2" t="s">
        <v>156</v>
      </c>
      <c r="F20" s="3" t="s">
        <v>157</v>
      </c>
      <c r="G20" s="2" t="s">
        <v>158</v>
      </c>
      <c r="H20" s="2" t="s">
        <v>159</v>
      </c>
      <c r="I20" s="2" t="s">
        <v>29</v>
      </c>
      <c r="J20" s="5" t="s">
        <v>30</v>
      </c>
      <c r="K20" s="2" t="s">
        <v>160</v>
      </c>
    </row>
    <row r="21" customFormat="false" ht="26.85" hidden="false" customHeight="false" outlineLevel="0" collapsed="false">
      <c r="A21" s="2" t="s">
        <v>152</v>
      </c>
      <c r="B21" s="2" t="s">
        <v>161</v>
      </c>
      <c r="C21" s="2" t="s">
        <v>162</v>
      </c>
      <c r="D21" s="2" t="s">
        <v>163</v>
      </c>
      <c r="E21" s="2" t="s">
        <v>164</v>
      </c>
      <c r="F21" s="3" t="s">
        <v>165</v>
      </c>
      <c r="G21" s="2" t="s">
        <v>166</v>
      </c>
      <c r="H21" s="2" t="s">
        <v>56</v>
      </c>
      <c r="I21" s="2" t="s">
        <v>167</v>
      </c>
      <c r="J21" s="5" t="s">
        <v>30</v>
      </c>
      <c r="K21" s="2" t="s">
        <v>168</v>
      </c>
    </row>
    <row r="22" customFormat="false" ht="26.85" hidden="false" customHeight="false" outlineLevel="0" collapsed="false">
      <c r="A22" s="2" t="s">
        <v>152</v>
      </c>
      <c r="B22" s="2" t="s">
        <v>169</v>
      </c>
      <c r="C22" s="2" t="s">
        <v>170</v>
      </c>
      <c r="D22" s="2" t="s">
        <v>171</v>
      </c>
      <c r="E22" s="2" t="s">
        <v>84</v>
      </c>
      <c r="F22" s="3" t="s">
        <v>172</v>
      </c>
      <c r="G22" s="2" t="s">
        <v>173</v>
      </c>
      <c r="H22" s="2" t="s">
        <v>84</v>
      </c>
      <c r="I22" s="2" t="s">
        <v>174</v>
      </c>
      <c r="J22" s="5" t="s">
        <v>30</v>
      </c>
      <c r="K22" s="2" t="s">
        <v>84</v>
      </c>
    </row>
    <row r="23" customFormat="false" ht="26.85" hidden="false" customHeight="false" outlineLevel="0" collapsed="false">
      <c r="A23" s="2" t="s">
        <v>152</v>
      </c>
      <c r="B23" s="2" t="s">
        <v>175</v>
      </c>
      <c r="C23" s="2" t="s">
        <v>176</v>
      </c>
      <c r="D23" s="2" t="s">
        <v>177</v>
      </c>
      <c r="E23" s="2" t="s">
        <v>178</v>
      </c>
      <c r="F23" s="3" t="s">
        <v>179</v>
      </c>
      <c r="G23" s="2" t="s">
        <v>180</v>
      </c>
      <c r="H23" s="2" t="s">
        <v>181</v>
      </c>
      <c r="I23" s="2" t="s">
        <v>29</v>
      </c>
      <c r="J23" s="5" t="s">
        <v>30</v>
      </c>
      <c r="K23" s="2" t="s">
        <v>182</v>
      </c>
    </row>
    <row r="24" customFormat="false" ht="15" hidden="false" customHeight="false" outlineLevel="0" collapsed="false">
      <c r="A24" s="2" t="s">
        <v>152</v>
      </c>
      <c r="B24" s="2" t="s">
        <v>183</v>
      </c>
      <c r="C24" s="2" t="s">
        <v>184</v>
      </c>
      <c r="D24" s="2" t="s">
        <v>185</v>
      </c>
      <c r="E24" s="2" t="s">
        <v>185</v>
      </c>
      <c r="F24" s="3" t="s">
        <v>186</v>
      </c>
      <c r="G24" s="2" t="s">
        <v>187</v>
      </c>
      <c r="H24" s="2" t="s">
        <v>188</v>
      </c>
      <c r="I24" s="2" t="s">
        <v>29</v>
      </c>
      <c r="J24" s="5" t="s">
        <v>30</v>
      </c>
      <c r="K24" s="2" t="s">
        <v>182</v>
      </c>
    </row>
    <row r="25" customFormat="false" ht="26.85" hidden="false" customHeight="false" outlineLevel="0" collapsed="false">
      <c r="A25" s="2" t="s">
        <v>152</v>
      </c>
      <c r="B25" s="2" t="s">
        <v>189</v>
      </c>
      <c r="C25" s="2" t="s">
        <v>190</v>
      </c>
      <c r="D25" s="2" t="s">
        <v>191</v>
      </c>
      <c r="E25" s="2" t="s">
        <v>192</v>
      </c>
      <c r="F25" s="3" t="s">
        <v>186</v>
      </c>
      <c r="G25" s="2" t="s">
        <v>193</v>
      </c>
      <c r="H25" s="2" t="s">
        <v>56</v>
      </c>
      <c r="I25" s="2" t="s">
        <v>194</v>
      </c>
      <c r="J25" s="5" t="s">
        <v>30</v>
      </c>
      <c r="K25" s="2" t="s">
        <v>182</v>
      </c>
    </row>
    <row r="26" customFormat="false" ht="26.85" hidden="false" customHeight="false" outlineLevel="0" collapsed="false">
      <c r="A26" s="2" t="s">
        <v>152</v>
      </c>
      <c r="B26" s="2" t="s">
        <v>195</v>
      </c>
      <c r="C26" s="2" t="s">
        <v>196</v>
      </c>
      <c r="D26" s="2" t="s">
        <v>91</v>
      </c>
      <c r="E26" s="2" t="s">
        <v>84</v>
      </c>
      <c r="F26" s="3" t="s">
        <v>186</v>
      </c>
      <c r="G26" s="2" t="s">
        <v>197</v>
      </c>
      <c r="H26" s="2" t="s">
        <v>198</v>
      </c>
      <c r="I26" s="2" t="s">
        <v>29</v>
      </c>
      <c r="J26" s="5" t="s">
        <v>30</v>
      </c>
      <c r="K26" s="2" t="s">
        <v>182</v>
      </c>
    </row>
    <row r="27" customFormat="false" ht="39.55" hidden="false" customHeight="false" outlineLevel="0" collapsed="false">
      <c r="A27" s="2" t="s">
        <v>152</v>
      </c>
      <c r="B27" s="2" t="s">
        <v>199</v>
      </c>
      <c r="C27" s="2" t="s">
        <v>200</v>
      </c>
      <c r="D27" s="2" t="s">
        <v>91</v>
      </c>
      <c r="E27" s="2" t="s">
        <v>84</v>
      </c>
      <c r="F27" s="3" t="s">
        <v>56</v>
      </c>
      <c r="G27" s="2" t="s">
        <v>158</v>
      </c>
      <c r="H27" s="2" t="s">
        <v>201</v>
      </c>
      <c r="I27" s="2" t="s">
        <v>202</v>
      </c>
      <c r="J27" s="5" t="s">
        <v>30</v>
      </c>
      <c r="K27" s="2" t="s">
        <v>203</v>
      </c>
    </row>
    <row r="28" customFormat="false" ht="26.85" hidden="false" customHeight="false" outlineLevel="0" collapsed="false">
      <c r="A28" s="2" t="s">
        <v>152</v>
      </c>
      <c r="B28" s="2" t="s">
        <v>204</v>
      </c>
      <c r="C28" s="2" t="s">
        <v>84</v>
      </c>
      <c r="D28" s="2" t="s">
        <v>84</v>
      </c>
      <c r="E28" s="2" t="s">
        <v>84</v>
      </c>
      <c r="F28" s="3" t="s">
        <v>93</v>
      </c>
      <c r="G28" s="2" t="s">
        <v>84</v>
      </c>
      <c r="H28" s="2" t="s">
        <v>84</v>
      </c>
      <c r="I28" s="2" t="s">
        <v>129</v>
      </c>
      <c r="J28" s="2" t="s">
        <v>84</v>
      </c>
      <c r="K28" s="2" t="s">
        <v>84</v>
      </c>
    </row>
    <row r="29" customFormat="false" ht="26.85" hidden="false" customHeight="false" outlineLevel="0" collapsed="false">
      <c r="A29" s="2" t="s">
        <v>152</v>
      </c>
      <c r="B29" s="2" t="s">
        <v>205</v>
      </c>
      <c r="C29" s="2" t="s">
        <v>206</v>
      </c>
      <c r="D29" s="2" t="s">
        <v>207</v>
      </c>
      <c r="E29" s="2" t="s">
        <v>84</v>
      </c>
      <c r="F29" s="3" t="s">
        <v>208</v>
      </c>
      <c r="G29" s="2" t="s">
        <v>209</v>
      </c>
      <c r="H29" s="2" t="s">
        <v>210</v>
      </c>
      <c r="I29" s="2" t="s">
        <v>211</v>
      </c>
      <c r="J29" s="5" t="s">
        <v>212</v>
      </c>
      <c r="K29" s="2" t="s">
        <v>213</v>
      </c>
    </row>
    <row r="30" customFormat="false" ht="15" hidden="false" customHeight="false" outlineLevel="0" collapsed="false">
      <c r="A30" s="2" t="s">
        <v>214</v>
      </c>
      <c r="B30" s="2" t="s">
        <v>32</v>
      </c>
      <c r="C30" s="2" t="s">
        <v>215</v>
      </c>
      <c r="D30" s="2" t="s">
        <v>216</v>
      </c>
      <c r="E30" s="2" t="s">
        <v>35</v>
      </c>
      <c r="F30" s="3" t="s">
        <v>217</v>
      </c>
      <c r="G30" s="2" t="s">
        <v>218</v>
      </c>
      <c r="H30" s="2" t="s">
        <v>84</v>
      </c>
      <c r="I30" s="2" t="s">
        <v>29</v>
      </c>
      <c r="J30" s="6" t="s">
        <v>122</v>
      </c>
      <c r="K30" s="2" t="s">
        <v>219</v>
      </c>
    </row>
    <row r="31" customFormat="false" ht="26.85" hidden="false" customHeight="false" outlineLevel="0" collapsed="false">
      <c r="A31" s="2" t="s">
        <v>214</v>
      </c>
      <c r="B31" s="2" t="s">
        <v>220</v>
      </c>
      <c r="C31" s="2" t="s">
        <v>221</v>
      </c>
      <c r="D31" s="2" t="s">
        <v>216</v>
      </c>
      <c r="E31" s="2" t="s">
        <v>222</v>
      </c>
      <c r="F31" s="3" t="s">
        <v>223</v>
      </c>
      <c r="G31" s="2" t="s">
        <v>224</v>
      </c>
      <c r="H31" s="2" t="s">
        <v>84</v>
      </c>
      <c r="I31" s="2" t="s">
        <v>29</v>
      </c>
      <c r="J31" s="4" t="s">
        <v>112</v>
      </c>
      <c r="K31" s="2" t="s">
        <v>225</v>
      </c>
    </row>
  </sheetData>
  <autoFilter ref="A1:K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</cols>
  <sheetData>
    <row r="1" customFormat="false" ht="16.15" hidden="false" customHeight="false" outlineLevel="0" collapsed="false">
      <c r="A1" s="7" t="s">
        <v>226</v>
      </c>
    </row>
    <row r="3" customFormat="false" ht="15" hidden="false" customHeight="false" outlineLevel="0" collapsed="false">
      <c r="A3" s="8" t="s">
        <v>227</v>
      </c>
      <c r="B3" s="8" t="s">
        <v>228</v>
      </c>
    </row>
    <row r="4" customFormat="false" ht="15" hidden="false" customHeight="false" outlineLevel="0" collapsed="false">
      <c r="A4" s="9" t="s">
        <v>30</v>
      </c>
      <c r="B4" s="9" t="n">
        <f aca="false">COUNTIF(Assets!$J$2:$J$31,"Permissionless*")</f>
        <v>14</v>
      </c>
    </row>
    <row r="5" customFormat="false" ht="15" hidden="false" customHeight="false" outlineLevel="0" collapsed="false">
      <c r="A5" s="9" t="s">
        <v>20</v>
      </c>
      <c r="B5" s="9" t="n">
        <f aca="false">COUNTIF(Assets!$J$2:$J$31,"Hybrid*")</f>
        <v>7</v>
      </c>
    </row>
    <row r="6" customFormat="false" ht="15" hidden="false" customHeight="false" outlineLevel="0" collapsed="false">
      <c r="A6" s="9" t="s">
        <v>122</v>
      </c>
      <c r="B6" s="9" t="n">
        <f aca="false">COUNTIF(Assets!$J$2:$J$31,"Permissioned*")</f>
        <v>4</v>
      </c>
    </row>
    <row r="7" customFormat="false" ht="15" hidden="false" customHeight="false" outlineLevel="0" collapsed="false">
      <c r="A7" s="9" t="s">
        <v>229</v>
      </c>
      <c r="B7" s="9" t="n">
        <f aca="false">COUNTA(Assets!$J$2:$J$31)-SUM(B4:B6)</f>
        <v>5</v>
      </c>
    </row>
    <row r="8" customFormat="false" ht="15" hidden="false" customHeight="false" outlineLevel="0" collapsed="false">
      <c r="A8" s="10" t="s">
        <v>230</v>
      </c>
      <c r="B8" s="10" t="n">
        <f aca="false">SUM(B4:B7)</f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1" t="s">
        <v>231</v>
      </c>
      <c r="B1" s="12"/>
    </row>
    <row r="2" customFormat="false" ht="15" hidden="false" customHeight="false" outlineLevel="0" collapsed="false">
      <c r="A2" s="13" t="s">
        <v>30</v>
      </c>
      <c r="B2" s="12" t="s">
        <v>232</v>
      </c>
    </row>
    <row r="3" customFormat="false" ht="15" hidden="false" customHeight="false" outlineLevel="0" collapsed="false">
      <c r="A3" s="14" t="s">
        <v>20</v>
      </c>
      <c r="B3" s="12" t="s">
        <v>233</v>
      </c>
    </row>
    <row r="4" customFormat="false" ht="15" hidden="false" customHeight="false" outlineLevel="0" collapsed="false">
      <c r="A4" s="15" t="s">
        <v>122</v>
      </c>
      <c r="B4" s="12" t="s">
        <v>234</v>
      </c>
    </row>
    <row r="5" customFormat="false" ht="15" hidden="false" customHeight="false" outlineLevel="0" collapsed="false">
      <c r="A5" s="12"/>
      <c r="B5" s="12"/>
    </row>
    <row r="6" customFormat="false" ht="15" hidden="false" customHeight="false" outlineLevel="0" collapsed="false">
      <c r="A6" s="11" t="s">
        <v>235</v>
      </c>
      <c r="B6" s="12"/>
    </row>
    <row r="7" customFormat="false" ht="26.85" hidden="false" customHeight="false" outlineLevel="0" collapsed="false">
      <c r="A7" s="12" t="s">
        <v>236</v>
      </c>
      <c r="B7" s="12" t="s">
        <v>237</v>
      </c>
    </row>
    <row r="8" customFormat="false" ht="26.85" hidden="false" customHeight="false" outlineLevel="0" collapsed="false">
      <c r="A8" s="12" t="s">
        <v>238</v>
      </c>
      <c r="B8" s="12" t="s">
        <v>239</v>
      </c>
    </row>
    <row r="9" customFormat="false" ht="26.85" hidden="false" customHeight="false" outlineLevel="0" collapsed="false">
      <c r="A9" s="12" t="s">
        <v>240</v>
      </c>
      <c r="B9" s="12" t="s">
        <v>241</v>
      </c>
    </row>
    <row r="10" customFormat="false" ht="26.85" hidden="false" customHeight="false" outlineLevel="0" collapsed="false">
      <c r="A10" s="12" t="s">
        <v>242</v>
      </c>
      <c r="B10" s="12" t="s">
        <v>243</v>
      </c>
    </row>
    <row r="11" customFormat="false" ht="15" hidden="false" customHeight="false" outlineLevel="0" collapsed="false">
      <c r="A11" s="12" t="s">
        <v>244</v>
      </c>
      <c r="B11" s="12" t="s">
        <v>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2026-10-06T15:10:44Z</dcterms:created>
  <dc:creator>openpyxl</dc:creator>
  <dc:description/>
  <dc:language>en-US</dc:language>
  <cp:lastModifiedBy/>
  <dcterms:modified xsi:type="dcterms:W3CDTF">2026-10-06T15:10:44Z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